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mariamtbackbase.com/Downloads/"/>
    </mc:Choice>
  </mc:AlternateContent>
  <xr:revisionPtr revIDLastSave="0" documentId="13_ncr:1_{5FADD326-A4A0-CD40-A702-777AA7F86D82}" xr6:coauthVersionLast="47" xr6:coauthVersionMax="47" xr10:uidLastSave="{00000000-0000-0000-0000-000000000000}"/>
  <bookViews>
    <workbookView xWindow="0" yWindow="660" windowWidth="29400" windowHeight="17140" xr2:uid="{00000000-000D-0000-FFFF-FFFF00000000}"/>
  </bookViews>
  <sheets>
    <sheet name="Quote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" i="1" l="1"/>
  <c r="H27" i="1"/>
  <c r="H26" i="1"/>
  <c r="H25" i="1"/>
</calcChain>
</file>

<file path=xl/sharedStrings.xml><?xml version="1.0" encoding="utf-8"?>
<sst xmlns="http://schemas.openxmlformats.org/spreadsheetml/2006/main" count="27" uniqueCount="27">
  <si>
    <t>#</t>
  </si>
  <si>
    <t>Product Name</t>
  </si>
  <si>
    <t>Year 1</t>
  </si>
  <si>
    <t>Year 2</t>
  </si>
  <si>
    <t>Year 3</t>
  </si>
  <si>
    <t>Year 4</t>
  </si>
  <si>
    <t>Year 5</t>
  </si>
  <si>
    <t>Total</t>
  </si>
  <si>
    <t>Digital Banking Wealth Management Premium Base Fee</t>
  </si>
  <si>
    <t xml:space="preserve">  Quantity: 130,000 users</t>
  </si>
  <si>
    <t>Digital Banking Wealth Management Premium User Fee</t>
  </si>
  <si>
    <t>Digital Onboarding Private Banking - Deposit Account Opening</t>
  </si>
  <si>
    <t>Case Manager</t>
  </si>
  <si>
    <t>Digital Banking Retail Banking Essential Base Fee</t>
  </si>
  <si>
    <t>Digital Banking Retail Banking Essential User Fee</t>
  </si>
  <si>
    <t xml:space="preserve">  Quantity (Yr1-2: 0, Yr3-5: 1,500,000 users)</t>
  </si>
  <si>
    <t>Digital Banking Small Business Banking Essential Base Fee</t>
  </si>
  <si>
    <t xml:space="preserve">  Quantity: 1 (per user line)</t>
  </si>
  <si>
    <t>Digital Banking Small Business Banking Essential User Fee</t>
  </si>
  <si>
    <t xml:space="preserve">  Quantity (Yr1-2: 0, Yr3-5: 250,000 users)</t>
  </si>
  <si>
    <t>Digital Assist Retail Banking Premium Base Fee</t>
  </si>
  <si>
    <t>Digital Assist Retail Banking Premium User Fee</t>
  </si>
  <si>
    <t>SUBTOTAL</t>
  </si>
  <si>
    <t>Users</t>
  </si>
  <si>
    <t>Wealth DB User Base</t>
  </si>
  <si>
    <t>Retail DB User Base</t>
  </si>
  <si>
    <t>Business DB User 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</si>
</sst>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i/>
      <sz val="9"/>
      <color rgb="FF666666"/>
      <name val="Arial"/>
    </font>
    <font>
      <b/>
      <sz val="10"/>
      <name val="Arial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9E2F3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0" borderId="1" xfId="0" applyFont="1" applyBorder="1"/>
    <xf numFmtId="3" fontId="2" fillId="0" borderId="1" xfId="0" applyNumberFormat="1" applyFont="1" applyBorder="1" applyAlignment="1">
      <alignment horizontal="right"/>
    </xf>
    <xf numFmtId="0" fontId="3" fillId="0" borderId="1" xfId="0" applyFont="1" applyBorder="1"/>
    <xf numFmtId="0" fontId="4" fillId="3" borderId="1" xfId="0" applyFont="1" applyFill="1" applyBorder="1"/>
    <xf numFmtId="3" fontId="4" fillId="3" borderId="1" xfId="0" applyNumberFormat="1" applyFont="1" applyFill="1" applyBorder="1" applyAlignment="1">
      <alignment horizontal="right"/>
    </xf>
    <xf numFmtId="3" fontId="0" fillId="0" borderId="0" xfId="0" applyNumberFormat="1"/>
    <xf numFmtId="3" fontId="5" fillId="0" borderId="2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7"/>
  <sheetViews>
    <sheetView tabSelected="1" zoomScale="130" zoomScaleNormal="130" workbookViewId="0">
      <selection activeCell="C17" sqref="C17"/>
    </sheetView>
  </sheetViews>
  <sheetFormatPr baseColWidth="10" defaultColWidth="8.83203125" defaultRowHeight="15" x14ac:dyDescent="0.2"/>
  <cols>
    <col min="1" max="1" width="5" customWidth="1"/>
    <col min="2" max="2" width="50" customWidth="1"/>
    <col min="3" max="8" width="15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0" x14ac:dyDescent="0.2">
      <c r="A2" s="2">
        <v>1</v>
      </c>
      <c r="B2" s="2" t="s">
        <v>8</v>
      </c>
      <c r="C2" s="3">
        <v>552400</v>
      </c>
      <c r="D2" s="3">
        <v>552400</v>
      </c>
      <c r="E2" s="3">
        <v>552400</v>
      </c>
      <c r="F2" s="3">
        <v>552400</v>
      </c>
      <c r="G2" s="3">
        <v>552400</v>
      </c>
      <c r="H2" s="3">
        <v>2762000</v>
      </c>
    </row>
    <row r="3" spans="1:10" x14ac:dyDescent="0.2">
      <c r="A3" s="4"/>
      <c r="B3" s="4" t="s">
        <v>9</v>
      </c>
      <c r="C3" s="4"/>
      <c r="D3" s="4"/>
      <c r="E3" s="4"/>
      <c r="F3" s="4"/>
      <c r="G3" s="4"/>
      <c r="H3" s="4"/>
    </row>
    <row r="4" spans="1:10" x14ac:dyDescent="0.2">
      <c r="A4" s="2">
        <v>2</v>
      </c>
      <c r="B4" s="2" t="s">
        <v>10</v>
      </c>
      <c r="C4" s="8">
        <v>25308</v>
      </c>
      <c r="D4" s="8">
        <v>25308</v>
      </c>
      <c r="E4" s="8">
        <v>25308</v>
      </c>
      <c r="F4" s="8">
        <v>25308</v>
      </c>
      <c r="G4" s="8">
        <v>25308</v>
      </c>
      <c r="H4" s="8">
        <v>126540</v>
      </c>
      <c r="J4" s="8"/>
    </row>
    <row r="5" spans="1:10" x14ac:dyDescent="0.2">
      <c r="A5" s="2">
        <v>3</v>
      </c>
      <c r="B5" s="2" t="s">
        <v>11</v>
      </c>
      <c r="C5" s="8">
        <v>22356</v>
      </c>
      <c r="D5" s="8">
        <v>22356</v>
      </c>
      <c r="E5" s="8">
        <v>22356</v>
      </c>
      <c r="F5" s="8">
        <v>22356</v>
      </c>
      <c r="G5" s="8">
        <v>22356</v>
      </c>
      <c r="H5" s="8">
        <v>111780</v>
      </c>
    </row>
    <row r="6" spans="1:10" x14ac:dyDescent="0.2">
      <c r="A6" s="2">
        <v>4</v>
      </c>
      <c r="B6" s="2" t="s">
        <v>12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</row>
    <row r="7" spans="1:10" x14ac:dyDescent="0.2">
      <c r="A7" s="2">
        <v>5</v>
      </c>
      <c r="B7" s="2" t="s">
        <v>13</v>
      </c>
      <c r="C7" s="3">
        <v>268320</v>
      </c>
      <c r="D7" s="3">
        <v>268320</v>
      </c>
      <c r="E7" s="3">
        <v>268320</v>
      </c>
      <c r="F7" s="3">
        <v>268320</v>
      </c>
      <c r="G7" s="3">
        <v>268320</v>
      </c>
      <c r="H7" s="3">
        <v>1341600</v>
      </c>
    </row>
    <row r="8" spans="1:10" x14ac:dyDescent="0.2">
      <c r="A8" s="2">
        <v>6</v>
      </c>
      <c r="B8" s="2" t="s">
        <v>14</v>
      </c>
      <c r="C8" s="3">
        <v>0</v>
      </c>
      <c r="D8" s="3">
        <v>0</v>
      </c>
      <c r="E8" s="3">
        <v>212327</v>
      </c>
      <c r="F8" s="3">
        <v>212327</v>
      </c>
      <c r="G8" s="3">
        <v>212327</v>
      </c>
      <c r="H8" s="3">
        <v>636982</v>
      </c>
    </row>
    <row r="9" spans="1:10" x14ac:dyDescent="0.2">
      <c r="A9" s="4"/>
      <c r="B9" s="4" t="s">
        <v>15</v>
      </c>
      <c r="C9" s="4"/>
      <c r="D9" s="4"/>
      <c r="E9" s="4"/>
      <c r="F9" s="4"/>
      <c r="G9" s="4"/>
      <c r="H9" s="4"/>
    </row>
    <row r="10" spans="1:10" x14ac:dyDescent="0.2">
      <c r="A10" s="2">
        <v>7</v>
      </c>
      <c r="B10" s="2" t="s">
        <v>16</v>
      </c>
      <c r="C10" s="3">
        <v>342208</v>
      </c>
      <c r="D10" s="3">
        <v>342208</v>
      </c>
      <c r="E10" s="3">
        <v>342208</v>
      </c>
      <c r="F10" s="3">
        <v>342208</v>
      </c>
      <c r="G10" s="3">
        <v>342208</v>
      </c>
      <c r="H10" s="3">
        <v>1711040</v>
      </c>
    </row>
    <row r="11" spans="1:10" x14ac:dyDescent="0.2">
      <c r="A11" s="4"/>
      <c r="B11" s="4" t="s">
        <v>17</v>
      </c>
      <c r="C11" s="4"/>
      <c r="D11" s="4"/>
      <c r="E11" s="4"/>
      <c r="F11" s="4"/>
      <c r="G11" s="4"/>
      <c r="H11" s="4"/>
    </row>
    <row r="12" spans="1:10" x14ac:dyDescent="0.2">
      <c r="A12" s="2">
        <v>8</v>
      </c>
      <c r="B12" s="2" t="s">
        <v>18</v>
      </c>
      <c r="C12" s="3">
        <v>0</v>
      </c>
      <c r="D12" s="3">
        <v>0</v>
      </c>
      <c r="E12" s="3">
        <v>127208</v>
      </c>
      <c r="F12" s="3">
        <v>127208</v>
      </c>
      <c r="G12" s="3">
        <v>127208</v>
      </c>
      <c r="H12" s="3">
        <v>381624</v>
      </c>
    </row>
    <row r="13" spans="1:10" x14ac:dyDescent="0.2">
      <c r="A13" s="4"/>
      <c r="B13" s="4" t="s">
        <v>19</v>
      </c>
      <c r="C13" s="4"/>
      <c r="D13" s="4"/>
      <c r="E13" s="4"/>
      <c r="F13" s="4"/>
      <c r="G13" s="4"/>
      <c r="H13" s="4"/>
    </row>
    <row r="14" spans="1:10" x14ac:dyDescent="0.2">
      <c r="A14" s="2">
        <v>9</v>
      </c>
      <c r="B14" s="2" t="s">
        <v>20</v>
      </c>
      <c r="C14" s="3">
        <v>287712</v>
      </c>
      <c r="D14" s="3">
        <v>287712</v>
      </c>
      <c r="E14" s="3">
        <v>287712</v>
      </c>
      <c r="F14" s="3">
        <v>287712</v>
      </c>
      <c r="G14" s="3">
        <v>287712</v>
      </c>
      <c r="H14" s="3">
        <v>1438560</v>
      </c>
    </row>
    <row r="15" spans="1:10" x14ac:dyDescent="0.2">
      <c r="A15" s="2">
        <v>10</v>
      </c>
      <c r="B15" s="2" t="s">
        <v>21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</row>
    <row r="16" spans="1:10" x14ac:dyDescent="0.2">
      <c r="A16" s="5"/>
      <c r="B16" s="5" t="s">
        <v>22</v>
      </c>
      <c r="C16" s="6">
        <v>1402976</v>
      </c>
      <c r="D16" s="6">
        <v>1402976</v>
      </c>
      <c r="E16" s="6">
        <v>1742511</v>
      </c>
      <c r="F16" s="6">
        <v>1742511</v>
      </c>
      <c r="G16" s="6">
        <v>1742511</v>
      </c>
      <c r="H16" s="6">
        <v>8033486</v>
      </c>
    </row>
    <row r="17" spans="2:8" x14ac:dyDescent="0.2">
      <c r="C17" s="7">
        <f>SUM(C2,C4,C5,C7,C10,C14)</f>
        <v>1498304</v>
      </c>
    </row>
    <row r="24" spans="2:8" x14ac:dyDescent="0.2">
      <c r="B24" t="s">
        <v>23</v>
      </c>
    </row>
    <row r="25" spans="2:8" x14ac:dyDescent="0.2">
      <c r="B25" t="s">
        <v>24</v>
      </c>
      <c r="C25" s="7">
        <v>130000</v>
      </c>
      <c r="D25" s="7">
        <v>130000</v>
      </c>
      <c r="E25" s="7">
        <v>130000</v>
      </c>
      <c r="F25" s="7">
        <v>130000</v>
      </c>
      <c r="G25" s="7">
        <v>130000</v>
      </c>
      <c r="H25" s="7">
        <f>SUM(C25:G25)</f>
        <v>650000</v>
      </c>
    </row>
    <row r="26" spans="2:8" x14ac:dyDescent="0.2">
      <c r="B26" t="s">
        <v>25</v>
      </c>
      <c r="E26" s="7">
        <v>1500000</v>
      </c>
      <c r="F26" s="7">
        <v>1500000</v>
      </c>
      <c r="G26" s="7">
        <v>1500000</v>
      </c>
      <c r="H26" s="7">
        <f>SUM(C26:G26)</f>
        <v>4500000</v>
      </c>
    </row>
    <row r="27" spans="2:8" x14ac:dyDescent="0.2">
      <c r="B27" t="s">
        <v>26</v>
      </c>
      <c r="E27" s="7">
        <v>250000</v>
      </c>
      <c r="F27" s="7">
        <v>250000</v>
      </c>
      <c r="G27" s="7">
        <v>250000</v>
      </c>
      <c r="H27" s="7">
        <f>SUM(C27:G27)</f>
        <v>750000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Mariam Titus George</cp:lastModifiedBy>
  <dcterms:created xsi:type="dcterms:W3CDTF">2026-02-10T04:04:56Z</dcterms:created>
  <dcterms:modified xsi:type="dcterms:W3CDTF">2026-02-10T04:35:29Z</dcterms:modified>
</cp:coreProperties>
</file>