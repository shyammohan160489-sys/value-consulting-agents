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Cases" sheetId="1" r:id="rId5"/>
    <sheet state="visible" name="Simulations" sheetId="2" r:id="rId6"/>
    <sheet state="visible" name="Sheet5" sheetId="3" r:id="rId7"/>
    <sheet state="visible" name="Models" sheetId="4" r:id="rId8"/>
    <sheet state="visible" name="WIP BB Agentic Platform Costs" sheetId="5" r:id="rId9"/>
    <sheet state="visible" name="WIP Simulations Platform" sheetId="6" r:id="rId10"/>
    <sheet state="visible" name="Margins" sheetId="7" r:id="rId11"/>
    <sheet state="visible" name="Instructions" sheetId="8" r:id="rId12"/>
  </sheets>
  <definedNames/>
  <calcPr/>
</workbook>
</file>

<file path=xl/sharedStrings.xml><?xml version="1.0" encoding="utf-8"?>
<sst xmlns="http://schemas.openxmlformats.org/spreadsheetml/2006/main" count="170" uniqueCount="140">
  <si>
    <t>Interaction</t>
  </si>
  <si>
    <t>Use Case</t>
  </si>
  <si>
    <t>Agentic Application</t>
  </si>
  <si>
    <t>Model Type</t>
  </si>
  <si>
    <t>Model Purpose</t>
  </si>
  <si>
    <t>Model Calls per Interaction</t>
  </si>
  <si>
    <t>Avg Input Tokens per Call</t>
  </si>
  <si>
    <t>Avg Output Tokens per Call</t>
  </si>
  <si>
    <t>Input $/1M (lookup)</t>
  </si>
  <si>
    <t>Output $/1M (lookup)</t>
  </si>
  <si>
    <t>Cost per  Model Call</t>
  </si>
  <si>
    <t>Cost per Interaction</t>
  </si>
  <si>
    <t xml:space="preserve">Model Calls attributed to  Interactions </t>
  </si>
  <si>
    <t>Unit Cost</t>
  </si>
  <si>
    <t>What did i spent on Dining Bill?</t>
  </si>
  <si>
    <t>Chat to my finances</t>
  </si>
  <si>
    <t>conversational-banking</t>
  </si>
  <si>
    <t>GPT-4.1</t>
  </si>
  <si>
    <t>Reasoning</t>
  </si>
  <si>
    <t>text-embedding-3-small</t>
  </si>
  <si>
    <t>embedding</t>
  </si>
  <si>
    <t>GPT-4o-mini</t>
  </si>
  <si>
    <t>Application Guardrails</t>
  </si>
  <si>
    <t>GPT-4.1-mini</t>
  </si>
  <si>
    <t xml:space="preserve">Online Evals </t>
  </si>
  <si>
    <t>Transfer 5$ to Tom</t>
  </si>
  <si>
    <t>Money Movement</t>
  </si>
  <si>
    <t>Tool Calling, Response Generation</t>
  </si>
  <si>
    <t>Monthly Sessions</t>
  </si>
  <si>
    <t>Interaction Distribution in a Session</t>
  </si>
  <si>
    <t># Models called</t>
  </si>
  <si>
    <t>Model Costs(Sessions*Interaction*Total Model cost per interaction)</t>
  </si>
  <si>
    <t>Chat with my Finances Interactions per session</t>
  </si>
  <si>
    <t>Move money Interactions per session</t>
  </si>
  <si>
    <t>Summary : If there are 600000 sessions a month and each sessions have 3 chats , we assume 2 are around chatting with finances and 1 is around money movement</t>
  </si>
  <si>
    <t>Sessions in Current Month</t>
  </si>
  <si>
    <t>total average monthly model calls</t>
  </si>
  <si>
    <t>Monthly Model Cost (3 interactions per session)</t>
  </si>
  <si>
    <t>Annual Sessions</t>
  </si>
  <si>
    <t>Annual Model Cost</t>
  </si>
  <si>
    <t>with Yearly PTU</t>
  </si>
  <si>
    <t>Annual costs In millions</t>
  </si>
  <si>
    <t>Non-discounted Model cost per session (3 interactions)</t>
  </si>
  <si>
    <t>PTU Per session</t>
  </si>
  <si>
    <t>Non-discounted Model cost per interactions</t>
  </si>
  <si>
    <t xml:space="preserve">PTU Costs per interaction </t>
  </si>
  <si>
    <t>Pay as you Go</t>
  </si>
  <si>
    <t>PAYG with MACC Discount</t>
  </si>
  <si>
    <t>PTU Hourly</t>
  </si>
  <si>
    <t>PTU Monthly Reservation</t>
  </si>
  <si>
    <t>PTU Yearly Reservation</t>
  </si>
  <si>
    <t>Total</t>
  </si>
  <si>
    <t>Model Name</t>
  </si>
  <si>
    <t>Provider</t>
  </si>
  <si>
    <t>Input $/1M tokens</t>
  </si>
  <si>
    <t>Output $/1M tokens</t>
  </si>
  <si>
    <t>Claude 3.5 Sonnet</t>
  </si>
  <si>
    <t>Anthropic</t>
  </si>
  <si>
    <t>Claude Sonnet 4</t>
  </si>
  <si>
    <t>Azure AI Foundry</t>
  </si>
  <si>
    <t>GPT-4.1-nano</t>
  </si>
  <si>
    <t>GPT-4o</t>
  </si>
  <si>
    <t>GPT 5.1</t>
  </si>
  <si>
    <t>GPT 5.2</t>
  </si>
  <si>
    <t>o3</t>
  </si>
  <si>
    <t>o4-mini</t>
  </si>
  <si>
    <t>Comments</t>
  </si>
  <si>
    <t>Sessions</t>
  </si>
  <si>
    <t>Interactions</t>
  </si>
  <si>
    <t>Number of interactions per sessions</t>
  </si>
  <si>
    <t>LF Units</t>
  </si>
  <si>
    <t>Per interactions, Langfuse consumes 7 LF units</t>
  </si>
  <si>
    <t>Number of Microservices running in DTAP</t>
  </si>
  <si>
    <t>Depending on architecture, could run multiple agents in 1 MS, or 1:1 | working thesiss, making more microservcies running less agents, woud result in same costs structure as more MS will be able to run in a VM</t>
  </si>
  <si>
    <t>Autoscaling rate/1000 requests</t>
  </si>
  <si>
    <t>Costs</t>
  </si>
  <si>
    <t>Type</t>
  </si>
  <si>
    <t>Type 2</t>
  </si>
  <si>
    <t>Costs 2</t>
  </si>
  <si>
    <t>Details</t>
  </si>
  <si>
    <t xml:space="preserve"> Compute attributed to Agent (DTAP Base)</t>
  </si>
  <si>
    <t>Compute</t>
  </si>
  <si>
    <t>Per Agent</t>
  </si>
  <si>
    <t>Agent Compute (Prod Request based autoscaling)</t>
  </si>
  <si>
    <t>Usage based compute</t>
  </si>
  <si>
    <t>Per 1K requests</t>
  </si>
  <si>
    <t>Base Platform (DTAP)</t>
  </si>
  <si>
    <t xml:space="preserve">Base Platform </t>
  </si>
  <si>
    <t>Fixed</t>
  </si>
  <si>
    <t>AKS, networking, APIM, Key Vault, ACR — Dev/Test/Acc/Prod</t>
  </si>
  <si>
    <t>Grafana</t>
  </si>
  <si>
    <t>Observability</t>
  </si>
  <si>
    <t>Dashboards, alerting, metrics visualization</t>
  </si>
  <si>
    <t>Langfuse</t>
  </si>
  <si>
    <t>Cloud Enterprise — base $2,499 + teams $300</t>
  </si>
  <si>
    <t>Langfuse (Usage)</t>
  </si>
  <si>
    <t>Usage based costs LF</t>
  </si>
  <si>
    <t>Per 1K LF Units</t>
  </si>
  <si>
    <t>$8.0/100K observations — tiered pricing at volume
Langfuse (Usage)($0.08/1K x 13800.0K LF units)$1,104.00</t>
  </si>
  <si>
    <t>PostgreSQL (Azure Flexible Server HA)</t>
  </si>
  <si>
    <t xml:space="preserve">DB </t>
  </si>
  <si>
    <t>General Purpose D4ds_v5, zone-redundant HA, 128 GB storage</t>
  </si>
  <si>
    <t>Redis</t>
  </si>
  <si>
    <t>Cache</t>
  </si>
  <si>
    <t>Short term memory</t>
  </si>
  <si>
    <t>Platform Team</t>
  </si>
  <si>
    <t>TeamSubtotal: $10000.00</t>
  </si>
  <si>
    <t>Shared platform engineering team costs (10000 eur) | 10 clients shoul break even | 100% agentic Team costs ~800k eur + 30% of the GC Team costs)</t>
  </si>
  <si>
    <t>Monthly</t>
  </si>
  <si>
    <t>Annually</t>
  </si>
  <si>
    <t>Master</t>
  </si>
  <si>
    <t>Node costs</t>
  </si>
  <si>
    <t>Pods per node</t>
  </si>
  <si>
    <t>assuming we run 3 pods in one node (Conservative for large. microservice)</t>
  </si>
  <si>
    <t>Cost per pod</t>
  </si>
  <si>
    <t xml:space="preserve">base_pods = dev + stg + prod_min + dr                                                                                                                                                       
            = 1 + 2 + 3 + 1 = 7 pods                 </t>
  </si>
  <si>
    <t>1 dev 2 tst and stg, 3 for 3az in prod and 1 for DR reserved (base platform has also node capacity for DR)</t>
  </si>
  <si>
    <t xml:space="preserve">  DTAP Base / agent = base_pods × cost_per_pod                                                                                                                                                
</t>
  </si>
  <si>
    <t>the bare minmum a microservice compute will cost us to just "Exist" in dev test stg production .</t>
  </si>
  <si>
    <t>Consumpition based Compute</t>
  </si>
  <si>
    <t>RPS per pod in production</t>
  </si>
  <si>
    <t>Montly requests per pod (30%)</t>
  </si>
  <si>
    <t xml:space="preserve"> Note: this means at 46 dollars  a pod one pod can take 7.7 million requests a month. this means technically we add one more replica of pod per 7.7 million request coming to the pod.</t>
  </si>
  <si>
    <t>Autoscaling rate ($/1K requests)</t>
  </si>
  <si>
    <t>we have to run 3 replicas (1 in each az for zone redundancies which gives us much higeher throughput in return anyway). so multiplying per pod costs by 3 and also possible throughput is times 3 as a gift. so rate remains the same.
which every  1000 requests costs us this amount = 46*3/requestperpod/1000</t>
  </si>
  <si>
    <t>Platform costs</t>
  </si>
  <si>
    <t>Selling Price per interaction</t>
  </si>
  <si>
    <t>Platform Price</t>
  </si>
  <si>
    <t>Interactions in a session</t>
  </si>
  <si>
    <t>Revenue</t>
  </si>
  <si>
    <t>costs after discount for models to. microsoft</t>
  </si>
  <si>
    <t xml:space="preserve">Agentic Platform Compute + Team </t>
  </si>
  <si>
    <t>Kasisto</t>
  </si>
  <si>
    <t>Other Solutions</t>
  </si>
  <si>
    <t>Margin</t>
  </si>
  <si>
    <t>HOW TO USE</t>
  </si>
  <si>
    <t>1. Fill in Use Cases sheet: A (name), B (app), C (model — must match Models sheet exactly), D (calls), E (input tokens), F (output tokens), K (monthly volume)</t>
  </si>
  <si>
    <t>2. Columns G-H auto-lookup pricing from Models sheet</t>
  </si>
  <si>
    <t>3. Columns I, J, L auto-calculate costs</t>
  </si>
  <si>
    <t>4. Edit Models sheet to update 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</si>
</sst>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$#,##0.00"/>
    <numFmt numFmtId="165" formatCode="$#,##0.0000000"/>
    <numFmt numFmtId="166" formatCode="$#,##0.000"/>
    <numFmt numFmtId="167" formatCode="$#,##0.0000"/>
    <numFmt numFmtId="168" formatCode="&quot;$&quot;#,##0"/>
    <numFmt numFmtId="169" formatCode="&quot;$&quot;#,##0.00000"/>
    <numFmt numFmtId="170" formatCode="&quot;$&quot;#,##0.000"/>
    <numFmt numFmtId="171" formatCode="&quot;$&quot;#,##0.0000"/>
    <numFmt numFmtId="172" formatCode="&quot;$&quot;#,##0.00"/>
    <numFmt numFmtId="173" formatCode="&quot;$&quot;#,##0.000000"/>
  </numFmts>
  <fonts count="2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b/>
      <sz val="10.0"/>
      <color theme="1"/>
      <name val="Calibri"/>
      <scheme val="minor"/>
    </font>
    <font>
      <b/>
      <color rgb="FF222222"/>
      <name val="Arial"/>
    </font>
    <font>
      <b/>
      <sz val="11.0"/>
      <color rgb="FF000000"/>
      <name val="Aptos"/>
    </font>
    <font>
      <sz val="11.0"/>
      <color rgb="FF000000"/>
      <name val="Aptos"/>
    </font>
    <font>
      <sz val="11.0"/>
      <color rgb="FF000000"/>
      <name val="Arial"/>
    </font>
    <font>
      <b/>
      <sz val="11.0"/>
      <color rgb="FF000000"/>
      <name val="Arial"/>
    </font>
    <font>
      <color rgb="FF222222"/>
      <name val="Arial"/>
    </font>
    <font>
      <sz val="11.0"/>
      <color theme="1"/>
      <name val="Ui-sans-serif"/>
    </font>
    <font>
      <sz val="9.0"/>
      <color theme="1"/>
      <name val="Ui-sans-serif"/>
    </font>
    <font>
      <b/>
      <sz val="9.0"/>
      <color theme="1"/>
      <name val="Arial"/>
    </font>
    <font>
      <sz val="11.0"/>
      <color theme="1"/>
      <name val="&quot;Geist Mono&quot;"/>
    </font>
    <font>
      <sz val="9.0"/>
      <color theme="1"/>
      <name val="Arial"/>
    </font>
    <font>
      <sz val="11.0"/>
      <color theme="1"/>
      <name val="Arial"/>
    </font>
    <font>
      <sz val="8.0"/>
      <color theme="1"/>
      <name val="Ui-sans-serif"/>
    </font>
    <font>
      <sz val="8.0"/>
      <color theme="1"/>
      <name val="&quot;Geist Mono&quot;"/>
    </font>
    <font>
      <i/>
      <color theme="1"/>
      <name val="Calibri"/>
      <scheme val="minor"/>
    </font>
    <font>
      <b/>
      <sz val="14.0"/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0C64C0"/>
        <bgColor rgb="FF0C64C0"/>
      </patternFill>
    </fill>
    <fill>
      <patternFill patternType="solid">
        <fgColor rgb="FFCEE0F2"/>
        <bgColor rgb="FFCEE0F2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C64C0"/>
      </left>
      <right style="thin">
        <color rgb="FF0C64C0"/>
      </right>
      <top style="thin">
        <color rgb="FF0C64C0"/>
      </top>
      <bottom style="thin">
        <color rgb="FF0C64C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2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5" xfId="0" applyBorder="1" applyFont="1" applyNumberFormat="1"/>
    <xf borderId="3" fillId="0" fontId="3" numFmtId="0" xfId="0" applyBorder="1" applyFont="1"/>
    <xf borderId="1" fillId="0" fontId="4" numFmtId="0" xfId="0" applyAlignment="1" applyBorder="1" applyFont="1">
      <alignment readingOrder="0"/>
    </xf>
    <xf borderId="0" fillId="0" fontId="4" numFmtId="166" xfId="0" applyAlignment="1" applyFont="1" applyNumberFormat="1">
      <alignment readingOrder="0"/>
    </xf>
    <xf borderId="4" fillId="0" fontId="3" numFmtId="0" xfId="0" applyBorder="1" applyFont="1"/>
    <xf borderId="0" fillId="3" fontId="4" numFmtId="0" xfId="0" applyAlignment="1" applyFill="1" applyFont="1">
      <alignment readingOrder="0"/>
    </xf>
    <xf borderId="0" fillId="3" fontId="4" numFmtId="0" xfId="0" applyFont="1"/>
    <xf borderId="0" fillId="3" fontId="4" numFmtId="165" xfId="0" applyFont="1" applyNumberFormat="1"/>
    <xf borderId="0" fillId="4" fontId="4" numFmtId="0" xfId="0" applyFill="1" applyFont="1"/>
    <xf borderId="0" fillId="4" fontId="5" numFmtId="165" xfId="0" applyFont="1" applyNumberFormat="1"/>
    <xf borderId="0" fillId="0" fontId="2" numFmtId="0" xfId="0" applyFont="1"/>
    <xf borderId="1" fillId="0" fontId="2" numFmtId="167" xfId="0" applyBorder="1" applyFont="1" applyNumberFormat="1"/>
    <xf borderId="1" fillId="4" fontId="5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Border="1" applyFont="1"/>
    <xf borderId="1" fillId="4" fontId="4" numFmtId="0" xfId="0" applyAlignment="1" applyBorder="1" applyFont="1">
      <alignment readingOrder="0"/>
    </xf>
    <xf borderId="1" fillId="4" fontId="4" numFmtId="0" xfId="0" applyBorder="1" applyFont="1"/>
    <xf borderId="1" fillId="5" fontId="5" numFmtId="0" xfId="0" applyBorder="1" applyFill="1" applyFont="1"/>
    <xf borderId="0" fillId="0" fontId="5" numFmtId="0" xfId="0" applyAlignment="1" applyFont="1">
      <alignment readingOrder="0"/>
    </xf>
    <xf borderId="0" fillId="0" fontId="5" numFmtId="0" xfId="0" applyFont="1"/>
    <xf borderId="1" fillId="0" fontId="6" numFmtId="3" xfId="0" applyAlignment="1" applyBorder="1" applyFont="1" applyNumberFormat="1">
      <alignment horizontal="right" readingOrder="0" vertical="bottom"/>
    </xf>
    <xf borderId="0" fillId="6" fontId="7" numFmtId="0" xfId="0" applyAlignment="1" applyFill="1" applyFont="1">
      <alignment readingOrder="0" shrinkToFit="0" wrapText="1"/>
    </xf>
    <xf borderId="0" fillId="6" fontId="5" numFmtId="0" xfId="0" applyAlignment="1" applyFont="1">
      <alignment readingOrder="0" shrinkToFit="0" wrapText="1"/>
    </xf>
    <xf borderId="0" fillId="6" fontId="4" numFmtId="0" xfId="0" applyAlignment="1" applyFont="1">
      <alignment readingOrder="0" shrinkToFit="0" wrapText="1"/>
    </xf>
    <xf borderId="1" fillId="6" fontId="4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0" fontId="4" numFmtId="3" xfId="0" applyBorder="1" applyFont="1" applyNumberFormat="1"/>
    <xf borderId="1" fillId="0" fontId="4" numFmtId="168" xfId="0" applyBorder="1" applyFont="1" applyNumberFormat="1"/>
    <xf borderId="1" fillId="0" fontId="5" numFmtId="169" xfId="0" applyBorder="1" applyFont="1" applyNumberFormat="1"/>
    <xf borderId="1" fillId="0" fontId="5" numFmtId="170" xfId="0" applyBorder="1" applyFont="1" applyNumberFormat="1"/>
    <xf borderId="1" fillId="0" fontId="4" numFmtId="170" xfId="0" applyBorder="1" applyFont="1" applyNumberFormat="1"/>
    <xf borderId="1" fillId="0" fontId="4" numFmtId="169" xfId="0" applyBorder="1" applyFont="1" applyNumberFormat="1"/>
    <xf borderId="1" fillId="0" fontId="4" numFmtId="168" xfId="0" applyAlignment="1" applyBorder="1" applyFont="1" applyNumberFormat="1">
      <alignment readingOrder="0"/>
    </xf>
    <xf borderId="5" fillId="7" fontId="8" numFmtId="0" xfId="0" applyAlignment="1" applyBorder="1" applyFill="1" applyFont="1">
      <alignment horizontal="center" shrinkToFit="0" vertical="bottom" wrapText="0"/>
    </xf>
    <xf borderId="5" fillId="7" fontId="9" numFmtId="0" xfId="0" applyAlignment="1" applyBorder="1" applyFont="1">
      <alignment horizontal="center" readingOrder="0" shrinkToFit="0" vertical="bottom" wrapText="1"/>
    </xf>
    <xf borderId="5" fillId="8" fontId="10" numFmtId="171" xfId="0" applyAlignment="1" applyBorder="1" applyFill="1" applyFont="1" applyNumberFormat="1">
      <alignment readingOrder="0" shrinkToFit="0" vertical="bottom" wrapText="0"/>
    </xf>
    <xf borderId="5" fillId="8" fontId="11" numFmtId="168" xfId="0" applyAlignment="1" applyBorder="1" applyFont="1" applyNumberFormat="1">
      <alignment horizontal="right" readingOrder="0" shrinkToFit="0" vertical="bottom" wrapText="0"/>
    </xf>
    <xf borderId="5" fillId="9" fontId="10" numFmtId="171" xfId="0" applyAlignment="1" applyBorder="1" applyFill="1" applyFont="1" applyNumberFormat="1">
      <alignment readingOrder="0" shrinkToFit="0" vertical="bottom" wrapText="0"/>
    </xf>
    <xf borderId="5" fillId="9" fontId="11" numFmtId="168" xfId="0" applyAlignment="1" applyBorder="1" applyFont="1" applyNumberFormat="1">
      <alignment horizontal="right" readingOrder="0" shrinkToFit="0" vertical="bottom" wrapText="0"/>
    </xf>
    <xf borderId="5" fillId="8" fontId="9" numFmtId="171" xfId="0" applyAlignment="1" applyBorder="1" applyFont="1" applyNumberFormat="1">
      <alignment horizontal="right" readingOrder="0" shrinkToFit="0" vertical="bottom" wrapText="0"/>
    </xf>
    <xf borderId="5" fillId="8" fontId="12" numFmtId="168" xfId="0" applyAlignment="1" applyBorder="1" applyFont="1" applyNumberFormat="1">
      <alignment horizontal="right" readingOrder="0" shrinkToFit="0" vertical="bottom" wrapText="0"/>
    </xf>
    <xf borderId="0" fillId="9" fontId="10" numFmtId="0" xfId="0" applyFont="1"/>
    <xf borderId="0" fillId="9" fontId="13" numFmtId="0" xfId="0" applyFont="1"/>
    <xf borderId="6" fillId="0" fontId="4" numFmtId="170" xfId="0" applyAlignment="1" applyBorder="1" applyFont="1" applyNumberFormat="1">
      <alignment readingOrder="0"/>
    </xf>
    <xf borderId="7" fillId="0" fontId="3" numFmtId="0" xfId="0" applyBorder="1" applyFont="1"/>
    <xf borderId="1" fillId="10" fontId="14" numFmtId="0" xfId="0" applyAlignment="1" applyBorder="1" applyFill="1" applyFont="1">
      <alignment readingOrder="0" shrinkToFit="0" wrapText="0"/>
    </xf>
    <xf borderId="1" fillId="10" fontId="15" numFmtId="0" xfId="0" applyAlignment="1" applyBorder="1" applyFont="1">
      <alignment readingOrder="0" shrinkToFit="0" wrapText="0"/>
    </xf>
    <xf borderId="1" fillId="10" fontId="16" numFmtId="0" xfId="0" applyAlignment="1" applyBorder="1" applyFont="1">
      <alignment readingOrder="0" shrinkToFit="0" wrapText="0"/>
    </xf>
    <xf borderId="1" fillId="10" fontId="17" numFmtId="172" xfId="0" applyAlignment="1" applyBorder="1" applyFont="1" applyNumberFormat="1">
      <alignment horizontal="right" readingOrder="0" shrinkToFit="0" wrapText="0"/>
    </xf>
    <xf borderId="1" fillId="10" fontId="18" numFmtId="0" xfId="0" applyAlignment="1" applyBorder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16" numFmtId="3" xfId="0" applyAlignment="1" applyFont="1" applyNumberForma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7" numFmtId="172" xfId="0" applyAlignment="1" applyFont="1" applyNumberFormat="1">
      <alignment horizontal="right" readingOrder="0" shrinkToFit="0" wrapText="0"/>
    </xf>
    <xf borderId="0" fillId="0" fontId="18" numFmtId="0" xfId="0" applyAlignment="1" applyFont="1">
      <alignment readingOrder="0" shrinkToFit="0" wrapText="0"/>
    </xf>
    <xf borderId="0" fillId="11" fontId="18" numFmtId="0" xfId="0" applyAlignment="1" applyFill="1" applyFont="1">
      <alignment readingOrder="0" shrinkToFit="0" wrapText="0"/>
    </xf>
    <xf borderId="0" fillId="0" fontId="18" numFmtId="0" xfId="0" applyAlignment="1" applyFont="1">
      <alignment readingOrder="0" shrinkToFit="0" wrapText="1"/>
    </xf>
    <xf borderId="0" fillId="0" fontId="18" numFmtId="170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9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7" numFmtId="172" xfId="0" applyAlignment="1" applyFont="1" applyNumberFormat="1">
      <alignment horizontal="right" readingOrder="0" shrinkToFit="0" vertical="center" wrapText="0"/>
    </xf>
    <xf borderId="1" fillId="12" fontId="18" numFmtId="0" xfId="0" applyAlignment="1" applyBorder="1" applyFill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12" fontId="15" numFmtId="172" xfId="0" applyAlignment="1" applyBorder="1" applyFont="1" applyNumberFormat="1">
      <alignment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1" fillId="12" fontId="15" numFmtId="0" xfId="0" applyAlignment="1" applyBorder="1" applyFont="1">
      <alignment readingOrder="0" shrinkToFit="0" vertical="center" wrapText="0"/>
    </xf>
    <xf borderId="1" fillId="0" fontId="18" numFmtId="172" xfId="0" applyAlignment="1" applyBorder="1" applyFont="1" applyNumberFormat="1">
      <alignment readingOrder="0" shrinkToFit="0" vertical="center" wrapText="0"/>
    </xf>
    <xf borderId="1" fillId="13" fontId="18" numFmtId="172" xfId="0" applyAlignment="1" applyBorder="1" applyFill="1" applyFont="1" applyNumberFormat="1">
      <alignment readingOrder="0" shrinkToFit="0" vertical="center" wrapText="0"/>
    </xf>
    <xf borderId="1" fillId="0" fontId="15" numFmtId="172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4" numFmtId="172" xfId="0" applyFont="1" applyNumberFormat="1"/>
    <xf borderId="0" fillId="0" fontId="17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1" fillId="0" fontId="4" numFmtId="172" xfId="0" applyAlignment="1" applyBorder="1" applyFont="1" applyNumberFormat="1">
      <alignment readingOrder="0"/>
    </xf>
    <xf borderId="0" fillId="11" fontId="4" numFmtId="0" xfId="0" applyAlignment="1" applyFont="1">
      <alignment readingOrder="0"/>
    </xf>
    <xf borderId="1" fillId="0" fontId="4" numFmtId="172" xfId="0" applyBorder="1" applyFont="1" applyNumberFormat="1"/>
    <xf borderId="0" fillId="0" fontId="4" numFmtId="4" xfId="0" applyAlignment="1" applyFont="1" applyNumberFormat="1">
      <alignment readingOrder="0"/>
    </xf>
    <xf borderId="0" fillId="11" fontId="22" numFmtId="0" xfId="0" applyAlignment="1" applyFont="1">
      <alignment readingOrder="0" shrinkToFit="0" wrapText="1"/>
    </xf>
    <xf borderId="0" fillId="0" fontId="4" numFmtId="173" xfId="0" applyFont="1" applyNumberFormat="1"/>
    <xf borderId="0" fillId="0" fontId="4" numFmtId="0" xfId="0" applyFont="1"/>
    <xf borderId="0" fillId="0" fontId="4" numFmtId="172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172" xfId="0" applyAlignment="1" applyFont="1" applyNumberFormat="1">
      <alignment readingOrder="0"/>
    </xf>
    <xf borderId="0" fillId="14" fontId="4" numFmtId="168" xfId="0" applyFill="1" applyFont="1" applyNumberFormat="1"/>
    <xf borderId="0" fillId="11" fontId="4" numFmtId="168" xfId="0" applyAlignment="1" applyFont="1" applyNumberFormat="1">
      <alignment readingOrder="0"/>
    </xf>
    <xf borderId="0" fillId="0" fontId="4" numFmtId="10" xfId="0" applyFont="1" applyNumberFormat="1"/>
    <xf borderId="0" fillId="0" fontId="4" numFmtId="168" xfId="0" applyFont="1" applyNumberFormat="1"/>
    <xf borderId="0" fillId="0" fontId="2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IP BB Agentic Platform Co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E19" displayName="Table1" name="Table1" id="1">
  <tableColumns count="5">
    <tableColumn name="Costs" id="1"/>
    <tableColumn name="Type" id="2"/>
    <tableColumn name="Type 2" id="3"/>
    <tableColumn name="Costs 2" id="4"/>
    <tableColumn name="Details" id="5"/>
  </tableColumns>
  <tableStyleInfo name="WIP BB Agentic Platform Co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3" width="28.0"/>
    <col customWidth="1" min="4" max="4" width="51.29"/>
    <col customWidth="1" min="5" max="5" width="42.57"/>
    <col customWidth="1" min="6" max="7" width="20.86"/>
    <col customWidth="1" min="8" max="9" width="24.0"/>
    <col customWidth="1" min="10" max="11" width="18.0"/>
    <col customWidth="1" min="12" max="12" width="16.0"/>
    <col customWidth="1" min="13" max="13" width="20.0"/>
    <col customWidth="1" min="14" max="14" width="26.71"/>
    <col customWidth="1" min="15" max="15" width="16.0"/>
    <col customWidth="1" min="16" max="16" width="8.71"/>
    <col customWidth="1" min="17" max="17" width="43.71"/>
    <col customWidth="1" min="18" max="2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3" t="s">
        <v>12</v>
      </c>
      <c r="O1" s="3" t="s">
        <v>13</v>
      </c>
    </row>
    <row r="2">
      <c r="A2" s="4" t="s">
        <v>14</v>
      </c>
      <c r="B2" s="5" t="s">
        <v>15</v>
      </c>
      <c r="C2" s="5" t="s">
        <v>16</v>
      </c>
      <c r="D2" s="6" t="s">
        <v>17</v>
      </c>
      <c r="E2" s="7" t="s">
        <v>18</v>
      </c>
      <c r="F2" s="6"/>
      <c r="G2" s="6">
        <v>1.0</v>
      </c>
      <c r="H2" s="7">
        <v>5000.0</v>
      </c>
      <c r="I2" s="7">
        <v>1000.0</v>
      </c>
      <c r="J2" s="8">
        <f>IFERROR(VLOOKUP(D2,Models!$A:$D,3,FALSE),"")</f>
        <v>2</v>
      </c>
      <c r="K2" s="8">
        <f>IFERROR(VLOOKUP(D2,Models!$A:$D,4,FALSE),"")</f>
        <v>8</v>
      </c>
      <c r="L2" s="9">
        <f t="shared" ref="L2:L5" si="1">IFERROR((H2/1000000)*J2+(I2/1000000)*K2,"")</f>
        <v>0.018</v>
      </c>
      <c r="M2" s="9">
        <f t="shared" ref="M2:M5" si="2">IFERROR(L2*G2,"")</f>
        <v>0.018</v>
      </c>
      <c r="N2" s="7">
        <v>2.0</v>
      </c>
      <c r="O2" s="9">
        <f t="shared" ref="O2:O5" si="3">IFERROR(M2*N2,"")</f>
        <v>0.036</v>
      </c>
    </row>
    <row r="3">
      <c r="B3" s="10"/>
      <c r="C3" s="10"/>
      <c r="D3" s="11" t="s">
        <v>19</v>
      </c>
      <c r="E3" s="4" t="s">
        <v>20</v>
      </c>
      <c r="F3" s="4"/>
      <c r="G3" s="7">
        <v>1.0</v>
      </c>
      <c r="H3" s="7">
        <v>10.0</v>
      </c>
      <c r="I3" s="7">
        <v>0.0</v>
      </c>
      <c r="J3" s="12">
        <f>IFERROR(VLOOKUP(D3,Models!$A:$D,3,FALSE),"")</f>
        <v>0.025</v>
      </c>
      <c r="K3" s="12">
        <v>0.0</v>
      </c>
      <c r="L3" s="9">
        <f t="shared" si="1"/>
        <v>0.00000025</v>
      </c>
      <c r="M3" s="9">
        <f t="shared" si="2"/>
        <v>0.00000025</v>
      </c>
      <c r="N3" s="7">
        <v>1.0</v>
      </c>
      <c r="O3" s="9">
        <f t="shared" si="3"/>
        <v>0.00000025</v>
      </c>
    </row>
    <row r="4">
      <c r="B4" s="10"/>
      <c r="C4" s="10"/>
      <c r="D4" s="7" t="s">
        <v>21</v>
      </c>
      <c r="E4" s="7" t="s">
        <v>22</v>
      </c>
      <c r="F4" s="7"/>
      <c r="G4" s="7">
        <v>1.0</v>
      </c>
      <c r="H4" s="7">
        <v>1200.0</v>
      </c>
      <c r="I4" s="7">
        <v>5.0</v>
      </c>
      <c r="J4" s="8">
        <f>IFERROR(VLOOKUP(D4,Models!$A:$D,3,FALSE),"")</f>
        <v>0.15</v>
      </c>
      <c r="K4" s="8">
        <f>IFERROR(VLOOKUP(D4,Models!$A:$D,4,FALSE),"")</f>
        <v>0.6</v>
      </c>
      <c r="L4" s="9">
        <f t="shared" si="1"/>
        <v>0.000183</v>
      </c>
      <c r="M4" s="9">
        <f t="shared" si="2"/>
        <v>0.000183</v>
      </c>
      <c r="N4" s="7">
        <v>1.0</v>
      </c>
      <c r="O4" s="9">
        <f t="shared" si="3"/>
        <v>0.000183</v>
      </c>
    </row>
    <row r="5">
      <c r="B5" s="13"/>
      <c r="C5" s="13"/>
      <c r="D5" s="7" t="s">
        <v>23</v>
      </c>
      <c r="E5" s="7" t="s">
        <v>24</v>
      </c>
      <c r="F5" s="7"/>
      <c r="G5" s="7">
        <v>2.0</v>
      </c>
      <c r="H5" s="7">
        <v>750.0</v>
      </c>
      <c r="I5" s="7">
        <v>80.0</v>
      </c>
      <c r="J5" s="8">
        <f>IFERROR(VLOOKUP(D5,Models!$A:$D,3,FALSE),"")</f>
        <v>0.4</v>
      </c>
      <c r="K5" s="8">
        <f>IFERROR(VLOOKUP(D5,Models!$A:$D,4,FALSE),"")</f>
        <v>1.6</v>
      </c>
      <c r="L5" s="9">
        <f t="shared" si="1"/>
        <v>0.000428</v>
      </c>
      <c r="M5" s="9">
        <f t="shared" si="2"/>
        <v>0.000856</v>
      </c>
      <c r="N5" s="7">
        <v>1.0</v>
      </c>
      <c r="O5" s="9">
        <f t="shared" si="3"/>
        <v>0.000856</v>
      </c>
    </row>
    <row r="6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  <c r="M6" s="16"/>
      <c r="N6" s="17">
        <f t="shared" ref="N6:O6" si="4">SUM(N2:N5)</f>
        <v>5</v>
      </c>
      <c r="O6" s="18">
        <f t="shared" si="4"/>
        <v>0.03703925</v>
      </c>
    </row>
    <row r="7">
      <c r="A7" s="4" t="s">
        <v>25</v>
      </c>
      <c r="B7" s="5" t="s">
        <v>26</v>
      </c>
      <c r="C7" s="5" t="s">
        <v>16</v>
      </c>
      <c r="D7" s="7" t="s">
        <v>17</v>
      </c>
      <c r="E7" s="7" t="s">
        <v>27</v>
      </c>
      <c r="F7" s="7"/>
      <c r="G7" s="7">
        <v>2.0</v>
      </c>
      <c r="H7" s="7">
        <v>5800.0</v>
      </c>
      <c r="I7" s="7">
        <v>1000.0</v>
      </c>
      <c r="J7" s="8">
        <f>IFERROR(VLOOKUP(D7,Models!$A:$D,3,FALSE),"")</f>
        <v>2</v>
      </c>
      <c r="K7" s="8">
        <f>IFERROR(VLOOKUP(D7,Models!$A:$D,4,FALSE),"")</f>
        <v>8</v>
      </c>
      <c r="L7" s="9">
        <f t="shared" ref="L7:L8" si="5">IFERROR((H7/1000000)*J7+(I7/1000000)*K7,"")</f>
        <v>0.0196</v>
      </c>
      <c r="M7" s="9">
        <f t="shared" ref="M7:M8" si="6">IFERROR(L7*G7,"")</f>
        <v>0.0392</v>
      </c>
      <c r="N7" s="7">
        <v>1.0</v>
      </c>
      <c r="O7" s="9">
        <f t="shared" ref="O7:O8" si="7">IFERROR(M7*N7,"")</f>
        <v>0.0392</v>
      </c>
    </row>
    <row r="8">
      <c r="A8" s="19"/>
      <c r="B8" s="10"/>
      <c r="C8" s="10"/>
      <c r="D8" s="7" t="s">
        <v>21</v>
      </c>
      <c r="E8" s="7" t="s">
        <v>22</v>
      </c>
      <c r="F8" s="7"/>
      <c r="G8" s="7">
        <v>1.0</v>
      </c>
      <c r="H8" s="7">
        <v>2000.0</v>
      </c>
      <c r="I8" s="7">
        <v>5.0</v>
      </c>
      <c r="J8" s="8">
        <f>IFERROR(VLOOKUP(D8,Models!$A:$D,3,FALSE),"")</f>
        <v>0.15</v>
      </c>
      <c r="K8" s="8">
        <f>IFERROR(VLOOKUP(D8,Models!$A:$D,4,FALSE),"")</f>
        <v>0.6</v>
      </c>
      <c r="L8" s="9">
        <f t="shared" si="5"/>
        <v>0.000303</v>
      </c>
      <c r="M8" s="9">
        <f t="shared" si="6"/>
        <v>0.000303</v>
      </c>
      <c r="N8" s="7">
        <v>1.0</v>
      </c>
      <c r="O8" s="9">
        <f t="shared" si="7"/>
        <v>0.000303</v>
      </c>
    </row>
    <row r="9">
      <c r="A9" s="19"/>
      <c r="B9" s="13"/>
      <c r="C9" s="13"/>
      <c r="D9" s="6"/>
      <c r="E9" s="7"/>
      <c r="F9" s="7"/>
      <c r="G9" s="7"/>
      <c r="H9" s="7"/>
      <c r="I9" s="7"/>
      <c r="J9" s="8"/>
      <c r="K9" s="8"/>
      <c r="L9" s="20"/>
      <c r="M9" s="20"/>
      <c r="N9" s="6"/>
      <c r="O9" s="9"/>
    </row>
    <row r="10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7">
        <f>SUM(N7:N9)</f>
        <v>2</v>
      </c>
      <c r="O10" s="18">
        <f>SUM(O7:O8)</f>
        <v>0.039503</v>
      </c>
    </row>
    <row r="11" ht="15.75" customHeight="1"/>
    <row r="12" ht="15.75" customHeight="1"/>
    <row r="13" ht="15.75" customHeight="1"/>
    <row r="14" ht="15.75" customHeight="1"/>
    <row r="15" ht="15.75" customHeight="1">
      <c r="C15" s="11" t="s">
        <v>28</v>
      </c>
      <c r="D15" s="21">
        <v>600000.0</v>
      </c>
      <c r="E15" s="11" t="s">
        <v>29</v>
      </c>
      <c r="F15" s="11" t="s">
        <v>30</v>
      </c>
      <c r="G15" s="22" t="s">
        <v>31</v>
      </c>
    </row>
    <row r="16" ht="15.75" customHeight="1">
      <c r="C16" s="23"/>
      <c r="D16" s="11" t="s">
        <v>32</v>
      </c>
      <c r="E16" s="24">
        <v>2.0</v>
      </c>
      <c r="F16" s="23">
        <f>N6</f>
        <v>5</v>
      </c>
      <c r="G16" s="25">
        <f>D15*E16*O6</f>
        <v>44447.1</v>
      </c>
    </row>
    <row r="17" ht="15.75" customHeight="1">
      <c r="C17" s="23"/>
      <c r="D17" s="11" t="s">
        <v>33</v>
      </c>
      <c r="E17" s="24">
        <v>1.0</v>
      </c>
      <c r="F17" s="23">
        <f>N10</f>
        <v>2</v>
      </c>
      <c r="G17" s="25">
        <f>D15*E17*O10</f>
        <v>23701.8</v>
      </c>
    </row>
    <row r="18" ht="15.75" customHeight="1">
      <c r="C18" s="23"/>
      <c r="D18" s="11"/>
      <c r="E18" s="23"/>
      <c r="F18" s="23"/>
      <c r="G18" s="23"/>
    </row>
    <row r="19" ht="15.75" customHeight="1">
      <c r="C19" s="23"/>
      <c r="D19" s="23"/>
      <c r="E19" s="23"/>
      <c r="F19" s="23"/>
      <c r="G19" s="26">
        <f>SUM(G16:G17)</f>
        <v>68148.9</v>
      </c>
    </row>
    <row r="20" ht="15.75" customHeight="1"/>
    <row r="21" ht="15.75" customHeight="1"/>
    <row r="22" ht="15.75" customHeight="1"/>
    <row r="23" ht="15.75" customHeight="1"/>
    <row r="24" ht="15.75" customHeight="1">
      <c r="D24" s="27" t="s">
        <v>34</v>
      </c>
      <c r="E24" s="28"/>
      <c r="F24" s="28"/>
      <c r="G24" s="28"/>
      <c r="H24" s="28"/>
    </row>
    <row r="25" ht="15.75" customHeight="1"/>
    <row r="26" ht="15.75" customHeight="1"/>
    <row r="27" ht="15.75" customHeight="1"/>
    <row r="28" ht="15.75" customHeight="1">
      <c r="D28" s="2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2:A5"/>
    <mergeCell ref="B2:B5"/>
    <mergeCell ref="C2:C5"/>
    <mergeCell ref="B7:B9"/>
    <mergeCell ref="C7:C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8.57"/>
    <col customWidth="1" min="3" max="3" width="16.71"/>
    <col customWidth="1" min="4" max="4" width="15.43"/>
    <col customWidth="1" min="5" max="5" width="14.71"/>
    <col customWidth="1" min="6" max="6" width="13.14"/>
    <col customWidth="1" min="7" max="7" width="17.43"/>
    <col customWidth="1" min="8" max="8" width="15.86"/>
    <col customWidth="1" min="9" max="9" width="11.29"/>
    <col customWidth="1" min="10" max="10" width="11.57"/>
    <col customWidth="1" min="11" max="11" width="27.0"/>
    <col customWidth="1" min="12" max="12" width="20.43"/>
  </cols>
  <sheetData>
    <row r="1">
      <c r="A1" s="30" t="s">
        <v>35</v>
      </c>
      <c r="B1" s="31" t="s">
        <v>36</v>
      </c>
      <c r="C1" s="31" t="s">
        <v>37</v>
      </c>
      <c r="D1" s="31" t="s">
        <v>38</v>
      </c>
      <c r="E1" s="31" t="s">
        <v>39</v>
      </c>
      <c r="F1" s="32" t="s">
        <v>40</v>
      </c>
      <c r="G1" s="31" t="s">
        <v>41</v>
      </c>
      <c r="H1" s="33" t="s">
        <v>42</v>
      </c>
      <c r="I1" s="33" t="s">
        <v>43</v>
      </c>
      <c r="J1" s="33" t="s">
        <v>44</v>
      </c>
      <c r="K1" s="33" t="s">
        <v>45</v>
      </c>
      <c r="L1" s="34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>
      <c r="A2" s="36">
        <v>600000.0</v>
      </c>
      <c r="B2" s="36">
        <f t="shared" ref="B2:B7" si="1">A2*12</f>
        <v>7200000</v>
      </c>
      <c r="C2" s="37">
        <f>A2*(('Use Cases'!E16*'Use Cases'!O6)+('Use Cases'!E17*'Use Cases'!O10))
</f>
        <v>68148.9</v>
      </c>
      <c r="D2" s="36">
        <f t="shared" ref="D2:D7" si="2">A2*12</f>
        <v>7200000</v>
      </c>
      <c r="E2" s="37">
        <f t="shared" ref="E2:E7" si="3">C2*12</f>
        <v>817786.8</v>
      </c>
      <c r="F2" s="37">
        <f t="shared" ref="F2:F7" si="4">E2*0.45</f>
        <v>368004.06</v>
      </c>
      <c r="G2" s="23" t="str">
        <f>IFERROR(__xludf.DUMMYFUNCTION("AI(""express in millions"",E2)"),"$0.82 million")</f>
        <v>$0.82 million</v>
      </c>
      <c r="H2" s="38">
        <f t="shared" ref="H2:H7" si="5">E2/D2</f>
        <v>0.1135815</v>
      </c>
      <c r="I2" s="39">
        <f t="shared" ref="I2:I7" si="6">H2*0.45</f>
        <v>0.051111675</v>
      </c>
      <c r="J2" s="40">
        <f t="shared" ref="J2:J7" si="7">H2/3</f>
        <v>0.0378605</v>
      </c>
      <c r="K2" s="40">
        <f t="shared" ref="K2:K7" si="8">J2*0.45</f>
        <v>0.017037225</v>
      </c>
    </row>
    <row r="3">
      <c r="A3" s="36">
        <v>1000000.0</v>
      </c>
      <c r="B3" s="36">
        <f t="shared" si="1"/>
        <v>12000000</v>
      </c>
      <c r="C3" s="37">
        <f>A3*(('Use Cases'!E16*'Use Cases'!O6)+('Use Cases'!E17*'Use Cases'!O10))
</f>
        <v>113581.5</v>
      </c>
      <c r="D3" s="36">
        <f t="shared" si="2"/>
        <v>12000000</v>
      </c>
      <c r="E3" s="37">
        <f t="shared" si="3"/>
        <v>1362978</v>
      </c>
      <c r="F3" s="37">
        <f t="shared" si="4"/>
        <v>613340.1</v>
      </c>
      <c r="G3" s="23" t="str">
        <f>IFERROR(__xludf.DUMMYFUNCTION("AI(""express in millions"",E3)"),"$1.36 million")</f>
        <v>$1.36 million</v>
      </c>
      <c r="H3" s="41">
        <f t="shared" si="5"/>
        <v>0.1135815</v>
      </c>
      <c r="I3" s="40">
        <f t="shared" si="6"/>
        <v>0.051111675</v>
      </c>
      <c r="J3" s="40">
        <f t="shared" si="7"/>
        <v>0.0378605</v>
      </c>
      <c r="K3" s="40">
        <f t="shared" si="8"/>
        <v>0.017037225</v>
      </c>
    </row>
    <row r="4">
      <c r="A4" s="36">
        <v>5000000.0</v>
      </c>
      <c r="B4" s="36">
        <f t="shared" si="1"/>
        <v>60000000</v>
      </c>
      <c r="C4" s="37">
        <f>A4*(('Use Cases'!E16*'Use Cases'!O6)+('Use Cases'!E17*'Use Cases'!O10))
</f>
        <v>567907.5</v>
      </c>
      <c r="D4" s="36">
        <f t="shared" si="2"/>
        <v>60000000</v>
      </c>
      <c r="E4" s="37">
        <f t="shared" si="3"/>
        <v>6814890</v>
      </c>
      <c r="F4" s="37">
        <f t="shared" si="4"/>
        <v>3066700.5</v>
      </c>
      <c r="G4" s="23" t="str">
        <f>IFERROR(__xludf.DUMMYFUNCTION("AI(""express in millions"",E4)"),"$6.81 million")</f>
        <v>$6.81 million</v>
      </c>
      <c r="H4" s="41">
        <f t="shared" si="5"/>
        <v>0.1135815</v>
      </c>
      <c r="I4" s="40">
        <f t="shared" si="6"/>
        <v>0.051111675</v>
      </c>
      <c r="J4" s="40">
        <f t="shared" si="7"/>
        <v>0.0378605</v>
      </c>
      <c r="K4" s="40">
        <f t="shared" si="8"/>
        <v>0.017037225</v>
      </c>
    </row>
    <row r="5">
      <c r="A5" s="36">
        <v>8000000.0</v>
      </c>
      <c r="B5" s="36">
        <f t="shared" si="1"/>
        <v>96000000</v>
      </c>
      <c r="C5" s="42">
        <f>A5*(('Use Cases'!E16*'Use Cases'!O6)+('Use Cases'!E17*'Use Cases'!O10))
</f>
        <v>908652</v>
      </c>
      <c r="D5" s="36">
        <f t="shared" si="2"/>
        <v>96000000</v>
      </c>
      <c r="E5" s="37">
        <f t="shared" si="3"/>
        <v>10903824</v>
      </c>
      <c r="F5" s="37">
        <f t="shared" si="4"/>
        <v>4906720.8</v>
      </c>
      <c r="G5" s="23" t="str">
        <f>IFERROR(__xludf.DUMMYFUNCTION("AI(""express in millions"",E5)"),"$10.90 million")</f>
        <v>$10.90 million</v>
      </c>
      <c r="H5" s="41">
        <f t="shared" si="5"/>
        <v>0.1135815</v>
      </c>
      <c r="I5" s="40">
        <f t="shared" si="6"/>
        <v>0.051111675</v>
      </c>
      <c r="J5" s="40">
        <f t="shared" si="7"/>
        <v>0.0378605</v>
      </c>
      <c r="K5" s="40">
        <f t="shared" si="8"/>
        <v>0.017037225</v>
      </c>
    </row>
    <row r="6">
      <c r="A6" s="36">
        <v>1.0E7</v>
      </c>
      <c r="B6" s="36">
        <f t="shared" si="1"/>
        <v>120000000</v>
      </c>
      <c r="C6" s="37">
        <f>A6*(('Use Cases'!E16*'Use Cases'!O6)+('Use Cases'!E17*'Use Cases'!O10))
</f>
        <v>1135815</v>
      </c>
      <c r="D6" s="36">
        <f t="shared" si="2"/>
        <v>120000000</v>
      </c>
      <c r="E6" s="37">
        <f t="shared" si="3"/>
        <v>13629780</v>
      </c>
      <c r="F6" s="37">
        <f t="shared" si="4"/>
        <v>6133401</v>
      </c>
      <c r="G6" s="23" t="str">
        <f>IFERROR(__xludf.DUMMYFUNCTION("AI(""express in millions"",E6)"),"$13.63 million")</f>
        <v>$13.63 million</v>
      </c>
      <c r="H6" s="41">
        <f t="shared" si="5"/>
        <v>0.1135815</v>
      </c>
      <c r="I6" s="40">
        <f t="shared" si="6"/>
        <v>0.051111675</v>
      </c>
      <c r="J6" s="40">
        <f t="shared" si="7"/>
        <v>0.0378605</v>
      </c>
      <c r="K6" s="40">
        <f t="shared" si="8"/>
        <v>0.017037225</v>
      </c>
    </row>
    <row r="7">
      <c r="A7" s="36">
        <v>1.5E7</v>
      </c>
      <c r="B7" s="36">
        <f t="shared" si="1"/>
        <v>180000000</v>
      </c>
      <c r="C7" s="37">
        <f>A7*(('Use Cases'!E16*'Use Cases'!O6)+('Use Cases'!E17*'Use Cases'!O10))
</f>
        <v>1703722.5</v>
      </c>
      <c r="D7" s="36">
        <f t="shared" si="2"/>
        <v>180000000</v>
      </c>
      <c r="E7" s="37">
        <f t="shared" si="3"/>
        <v>20444670</v>
      </c>
      <c r="F7" s="37">
        <f t="shared" si="4"/>
        <v>9200101.5</v>
      </c>
      <c r="G7" s="23" t="str">
        <f>IFERROR(__xludf.DUMMYFUNCTION("AI(""express in millions"",E7)"),"$20.44 million")</f>
        <v>$20.44 million</v>
      </c>
      <c r="H7" s="41">
        <f t="shared" si="5"/>
        <v>0.1135815</v>
      </c>
      <c r="I7" s="40">
        <f t="shared" si="6"/>
        <v>0.051111675</v>
      </c>
      <c r="J7" s="40">
        <f t="shared" si="7"/>
        <v>0.0378605</v>
      </c>
      <c r="K7" s="40">
        <f t="shared" si="8"/>
        <v>0.017037225</v>
      </c>
    </row>
    <row r="9">
      <c r="A9" s="43"/>
      <c r="B9" s="44" t="s">
        <v>46</v>
      </c>
      <c r="C9" s="44" t="s">
        <v>47</v>
      </c>
      <c r="D9" s="44" t="s">
        <v>48</v>
      </c>
      <c r="E9" s="44" t="s">
        <v>49</v>
      </c>
      <c r="F9" s="44" t="s">
        <v>50</v>
      </c>
    </row>
    <row r="10">
      <c r="A10" s="45" t="s">
        <v>15</v>
      </c>
      <c r="B10" s="46">
        <v>44447.0</v>
      </c>
      <c r="C10" s="46">
        <v>35557.0</v>
      </c>
      <c r="D10" s="46">
        <v>75240.0</v>
      </c>
      <c r="E10" s="46">
        <v>2717.0</v>
      </c>
      <c r="F10" s="46">
        <v>23085.0</v>
      </c>
    </row>
    <row r="11">
      <c r="A11" s="47" t="s">
        <v>26</v>
      </c>
      <c r="B11" s="48">
        <v>23701.0</v>
      </c>
      <c r="C11" s="48">
        <v>18961.0</v>
      </c>
      <c r="D11" s="48">
        <v>23760.0</v>
      </c>
      <c r="E11" s="48">
        <v>8580.0</v>
      </c>
      <c r="F11" s="48">
        <v>7290.0</v>
      </c>
    </row>
    <row r="12">
      <c r="A12" s="49" t="s">
        <v>51</v>
      </c>
      <c r="B12" s="50">
        <v>68148.0</v>
      </c>
      <c r="C12" s="50">
        <v>54519.0</v>
      </c>
      <c r="D12" s="50">
        <v>99000.0</v>
      </c>
      <c r="E12" s="50">
        <v>35750.0</v>
      </c>
      <c r="F12" s="50">
        <v>30375.0</v>
      </c>
    </row>
    <row r="27">
      <c r="B27" s="51"/>
    </row>
    <row r="28">
      <c r="B28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20.0"/>
    <col customWidth="1" min="4" max="4" width="22.0"/>
    <col customWidth="1" min="5" max="26" width="8.71"/>
  </cols>
  <sheetData>
    <row r="1">
      <c r="A1" s="2" t="s">
        <v>52</v>
      </c>
      <c r="B1" s="2" t="s">
        <v>53</v>
      </c>
      <c r="C1" s="2" t="s">
        <v>54</v>
      </c>
      <c r="D1" s="2" t="s">
        <v>55</v>
      </c>
    </row>
    <row r="2">
      <c r="A2" s="6" t="s">
        <v>56</v>
      </c>
      <c r="B2" s="6" t="s">
        <v>57</v>
      </c>
      <c r="C2" s="8">
        <v>3.0</v>
      </c>
      <c r="D2" s="8">
        <v>15.0</v>
      </c>
    </row>
    <row r="3">
      <c r="A3" s="6" t="s">
        <v>58</v>
      </c>
      <c r="B3" s="6" t="s">
        <v>57</v>
      </c>
      <c r="C3" s="8">
        <v>3.0</v>
      </c>
      <c r="D3" s="8">
        <v>15.0</v>
      </c>
    </row>
    <row r="4">
      <c r="A4" s="6" t="s">
        <v>17</v>
      </c>
      <c r="B4" s="6" t="s">
        <v>59</v>
      </c>
      <c r="C4" s="8">
        <v>2.0</v>
      </c>
      <c r="D4" s="8">
        <v>8.0</v>
      </c>
    </row>
    <row r="5">
      <c r="A5" s="6" t="s">
        <v>23</v>
      </c>
      <c r="B5" s="6" t="s">
        <v>59</v>
      </c>
      <c r="C5" s="8">
        <v>0.4</v>
      </c>
      <c r="D5" s="8">
        <v>1.6</v>
      </c>
    </row>
    <row r="6">
      <c r="A6" s="6" t="s">
        <v>60</v>
      </c>
      <c r="B6" s="6" t="s">
        <v>59</v>
      </c>
      <c r="C6" s="8">
        <v>0.1</v>
      </c>
      <c r="D6" s="8">
        <v>0.4</v>
      </c>
    </row>
    <row r="7">
      <c r="A7" s="6" t="s">
        <v>61</v>
      </c>
      <c r="B7" s="6" t="s">
        <v>59</v>
      </c>
      <c r="C7" s="8">
        <v>2.5</v>
      </c>
      <c r="D7" s="8">
        <v>10.0</v>
      </c>
    </row>
    <row r="8">
      <c r="A8" s="6" t="s">
        <v>21</v>
      </c>
      <c r="B8" s="6" t="s">
        <v>59</v>
      </c>
      <c r="C8" s="8">
        <v>0.15</v>
      </c>
      <c r="D8" s="8">
        <v>0.6</v>
      </c>
    </row>
    <row r="9">
      <c r="A9" s="6" t="s">
        <v>62</v>
      </c>
      <c r="B9" s="6" t="s">
        <v>59</v>
      </c>
      <c r="C9" s="8">
        <v>1.06</v>
      </c>
      <c r="D9" s="8">
        <v>8.48</v>
      </c>
    </row>
    <row r="10">
      <c r="A10" s="6" t="s">
        <v>63</v>
      </c>
      <c r="B10" s="6" t="s">
        <v>59</v>
      </c>
      <c r="C10" s="8">
        <v>1.49</v>
      </c>
      <c r="D10" s="8">
        <v>11.47</v>
      </c>
    </row>
    <row r="11">
      <c r="A11" s="6" t="s">
        <v>64</v>
      </c>
      <c r="B11" s="6" t="s">
        <v>59</v>
      </c>
      <c r="C11" s="8">
        <v>2.0</v>
      </c>
      <c r="D11" s="8">
        <v>8.0</v>
      </c>
    </row>
    <row r="12">
      <c r="A12" s="6" t="s">
        <v>65</v>
      </c>
      <c r="B12" s="6" t="s">
        <v>59</v>
      </c>
      <c r="C12" s="8">
        <v>1.1</v>
      </c>
      <c r="D12" s="8">
        <v>4.4</v>
      </c>
    </row>
    <row r="13">
      <c r="A13" s="11" t="s">
        <v>19</v>
      </c>
      <c r="B13" s="6" t="s">
        <v>59</v>
      </c>
      <c r="C13" s="53">
        <v>0.025</v>
      </c>
      <c r="D13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3:D1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4.29"/>
    <col customWidth="1" min="2" max="2" width="26.86"/>
    <col customWidth="1" min="3" max="3" width="22.29"/>
    <col customWidth="1" min="4" max="4" width="16.29"/>
    <col customWidth="1" min="5" max="5" width="145.71"/>
    <col customWidth="1" min="8" max="8" width="44.0"/>
    <col customWidth="1" min="10" max="10" width="80.71"/>
  </cols>
  <sheetData>
    <row r="1">
      <c r="A1" s="55"/>
      <c r="B1" s="56"/>
      <c r="C1" s="57"/>
      <c r="D1" s="58"/>
      <c r="E1" s="59" t="s">
        <v>66</v>
      </c>
    </row>
    <row r="2">
      <c r="A2" s="60" t="s">
        <v>67</v>
      </c>
      <c r="B2" s="61">
        <v>5000000.0</v>
      </c>
      <c r="C2" s="62"/>
      <c r="D2" s="63"/>
      <c r="E2" s="62"/>
    </row>
    <row r="3">
      <c r="A3" s="60" t="s">
        <v>68</v>
      </c>
      <c r="B3" s="61">
        <f>B2*B4</f>
        <v>15000000</v>
      </c>
      <c r="C3" s="62"/>
      <c r="D3" s="63"/>
      <c r="E3" s="62"/>
    </row>
    <row r="4">
      <c r="A4" s="60" t="s">
        <v>69</v>
      </c>
      <c r="B4" s="64">
        <v>3.0</v>
      </c>
      <c r="C4" s="62"/>
      <c r="D4" s="63"/>
      <c r="E4" s="62"/>
    </row>
    <row r="5">
      <c r="A5" s="60" t="s">
        <v>70</v>
      </c>
      <c r="B5" s="61">
        <f>B3*7</f>
        <v>105000000</v>
      </c>
      <c r="C5" s="62"/>
      <c r="D5" s="63"/>
      <c r="E5" s="64" t="s">
        <v>71</v>
      </c>
    </row>
    <row r="6">
      <c r="A6" s="60" t="s">
        <v>72</v>
      </c>
      <c r="B6" s="65">
        <v>1.0</v>
      </c>
      <c r="C6" s="62"/>
      <c r="D6" s="63"/>
      <c r="E6" s="66" t="s">
        <v>73</v>
      </c>
    </row>
    <row r="7">
      <c r="A7" s="60" t="s">
        <v>74</v>
      </c>
      <c r="B7" s="67">
        <f>I37</f>
        <v>0.006001371742</v>
      </c>
      <c r="C7" s="62"/>
      <c r="D7" s="63"/>
      <c r="E7" s="62"/>
    </row>
    <row r="8">
      <c r="A8" s="68"/>
      <c r="B8" s="62"/>
      <c r="C8" s="62"/>
      <c r="D8" s="63"/>
      <c r="E8" s="62"/>
    </row>
    <row r="9">
      <c r="A9" s="68"/>
      <c r="B9" s="62"/>
      <c r="C9" s="62"/>
      <c r="D9" s="63"/>
      <c r="E9" s="62"/>
    </row>
    <row r="10" ht="22.5" customHeight="1">
      <c r="A10" s="69" t="s">
        <v>75</v>
      </c>
      <c r="B10" s="70" t="s">
        <v>76</v>
      </c>
      <c r="C10" s="70" t="s">
        <v>77</v>
      </c>
      <c r="D10" s="71" t="s">
        <v>78</v>
      </c>
      <c r="E10" s="70" t="s">
        <v>79</v>
      </c>
    </row>
    <row r="11" ht="22.5" customHeight="1">
      <c r="A11" s="72" t="s">
        <v>80</v>
      </c>
      <c r="B11" s="73" t="s">
        <v>81</v>
      </c>
      <c r="C11" s="73" t="s">
        <v>82</v>
      </c>
      <c r="D11" s="74">
        <f>I32*B6</f>
        <v>326.6666667</v>
      </c>
      <c r="E11" s="75" t="str">
        <f>IFERROR(__xludf.DUMMYFUNCTION("AI (""explain how this calculated"",H26:J32)"),"The cost of $326.67 is calculated by multiplying the number of base pods required for an agent across all environments (7 pods) by the cost per individual pod ($46.67).
The specific components are:  - Node costs: $140.00
  - Pods per node: 3
  - Cost per"&amp;" pod: $140.00 / 3 = $46.67
  - Base pods: 7 (comprised of 1 Dev, 2 Test/Staging, 3 Production, and 1 Disaster Recovery)
  - Total Calculation: 7 pods × $46.67 per pod = $326.67")</f>
        <v>The cost of $326.67 is calculated by multiplying the number of base pods required for an agent across all environments (7 pods) by the cost per individual pod ($46.67).
The specific components are:  - Node costs: $140.00
  - Pods per node: 3
  - Cost per pod: $140.00 / 3 = $46.67
  - Base pods: 7 (comprised of 1 Dev, 2 Test/Staging, 3 Production, and 1 Disaster Recovery)
  - Total Calculation: 7 pods × $46.67 per pod = $326.67</v>
      </c>
    </row>
    <row r="12" ht="22.5" customHeight="1">
      <c r="A12" s="72" t="s">
        <v>83</v>
      </c>
      <c r="B12" s="75" t="s">
        <v>84</v>
      </c>
      <c r="C12" s="75" t="s">
        <v>85</v>
      </c>
      <c r="D12" s="74">
        <f>B3/1000* B7</f>
        <v>90.02057613</v>
      </c>
      <c r="E12" s="76" t="str">
        <f>IFERROR(__xludf.DUMMYFUNCTION("AI (""explain how this calculated"",H34:J37)"),"The autoscaling rate of $0.006001 per 1,000 requests is calculated using the following components:  - Pod Cost: $46.00 per pod
  - Replicas: 3 pods (one for each availability zone to ensure redundancy)
  - Monthly Requests per Pod: 22,982,400 (derived fro"&amp;"m 7,776,000 requests at 30% utilization, which implies a 100% capacity of 25,920,000, though the formula note specifically uses the relationship of 3 replicas to the throughput)
  - Calculation: (Total Cost of 3 Pods) / (Total Monthly Capacity in thousand"&amp;"s of requests)Specifically, the formula 46 * 3 / 22,982.4 results in the rate of $0.006001. This ensures that while 3 replicas are run for redundancy, the cost is distributed across the total throughput provided by those pods.")</f>
        <v>The autoscaling rate of $0.006001 per 1,000 requests is calculated using the following components:  - Pod Cost: $46.00 per pod
  - Replicas: 3 pods (one for each availability zone to ensure redundancy)
  - Monthly Requests per Pod: 22,982,400 (derived from 7,776,000 requests at 30% utilization, which implies a 100% capacity of 25,920,000, though the formula note specifically uses the relationship of 3 replicas to the throughput)
  - Calculation: (Total Cost of 3 Pods) / (Total Monthly Capacity in thousands of requests)Specifically, the formula 46 * 3 / 22,982.4 results in the rate of $0.006001. This ensures that while 3 replicas are run for redundancy, the cost is distributed across the total throughput provided by those pods.</v>
      </c>
    </row>
    <row r="13" ht="22.5" customHeight="1">
      <c r="A13" s="77" t="s">
        <v>86</v>
      </c>
      <c r="B13" s="75" t="s">
        <v>87</v>
      </c>
      <c r="C13" s="73" t="s">
        <v>88</v>
      </c>
      <c r="D13" s="78">
        <v>4000.0</v>
      </c>
      <c r="E13" s="73" t="s">
        <v>89</v>
      </c>
    </row>
    <row r="14" ht="22.5" customHeight="1">
      <c r="A14" s="73" t="s">
        <v>90</v>
      </c>
      <c r="B14" s="73" t="s">
        <v>91</v>
      </c>
      <c r="C14" s="73" t="s">
        <v>88</v>
      </c>
      <c r="D14" s="79">
        <v>500.0</v>
      </c>
      <c r="E14" s="73" t="s">
        <v>92</v>
      </c>
    </row>
    <row r="15" ht="22.5" customHeight="1">
      <c r="A15" s="73" t="s">
        <v>93</v>
      </c>
      <c r="B15" s="75" t="s">
        <v>91</v>
      </c>
      <c r="C15" s="73" t="s">
        <v>88</v>
      </c>
      <c r="D15" s="80">
        <v>2799.0</v>
      </c>
      <c r="E15" s="73" t="s">
        <v>94</v>
      </c>
    </row>
    <row r="16" ht="22.5" customHeight="1">
      <c r="A16" s="73" t="s">
        <v>95</v>
      </c>
      <c r="B16" s="75" t="s">
        <v>96</v>
      </c>
      <c r="C16" s="73" t="s">
        <v>97</v>
      </c>
      <c r="D16" s="79">
        <v>1104.0</v>
      </c>
      <c r="E16" s="75" t="s">
        <v>98</v>
      </c>
    </row>
    <row r="17" ht="22.5" customHeight="1">
      <c r="A17" s="73" t="s">
        <v>99</v>
      </c>
      <c r="B17" s="75" t="s">
        <v>100</v>
      </c>
      <c r="C17" s="73" t="s">
        <v>88</v>
      </c>
      <c r="D17" s="80">
        <v>750.0</v>
      </c>
      <c r="E17" s="73" t="s">
        <v>101</v>
      </c>
    </row>
    <row r="18" ht="22.5" customHeight="1">
      <c r="A18" s="75" t="s">
        <v>102</v>
      </c>
      <c r="B18" s="75" t="s">
        <v>103</v>
      </c>
      <c r="C18" s="73" t="s">
        <v>88</v>
      </c>
      <c r="D18" s="79">
        <v>320.0</v>
      </c>
      <c r="E18" s="75" t="s">
        <v>104</v>
      </c>
    </row>
    <row r="19" ht="22.5" customHeight="1">
      <c r="A19" s="73" t="s">
        <v>105</v>
      </c>
      <c r="B19" s="73" t="s">
        <v>106</v>
      </c>
      <c r="C19" s="73" t="s">
        <v>88</v>
      </c>
      <c r="D19" s="79">
        <v>11545.0</v>
      </c>
      <c r="E19" s="75" t="s">
        <v>107</v>
      </c>
    </row>
    <row r="21">
      <c r="C21" s="81" t="s">
        <v>108</v>
      </c>
      <c r="D21" s="82">
        <f>SUM(Table1[Costs])</f>
        <v>21434.68724</v>
      </c>
    </row>
    <row r="22">
      <c r="C22" s="81" t="s">
        <v>109</v>
      </c>
      <c r="D22" s="82">
        <f>D21*12</f>
        <v>257216.2469</v>
      </c>
    </row>
    <row r="24">
      <c r="C24" s="83"/>
    </row>
    <row r="26">
      <c r="B26" s="84"/>
    </row>
    <row r="27">
      <c r="B27" s="85"/>
      <c r="H27" s="27" t="s">
        <v>110</v>
      </c>
    </row>
    <row r="28">
      <c r="B28" s="85"/>
      <c r="H28" s="11" t="s">
        <v>111</v>
      </c>
      <c r="I28" s="86">
        <v>140.0</v>
      </c>
    </row>
    <row r="29">
      <c r="B29" s="85"/>
      <c r="H29" s="11" t="s">
        <v>112</v>
      </c>
      <c r="I29" s="11">
        <v>3.0</v>
      </c>
      <c r="J29" s="87" t="s">
        <v>113</v>
      </c>
    </row>
    <row r="30">
      <c r="H30" s="11" t="s">
        <v>114</v>
      </c>
      <c r="I30" s="86">
        <f>I28/I29</f>
        <v>46.66666667</v>
      </c>
    </row>
    <row r="31">
      <c r="H31" s="11" t="s">
        <v>115</v>
      </c>
      <c r="I31" s="11">
        <v>7.0</v>
      </c>
      <c r="J31" s="81" t="s">
        <v>116</v>
      </c>
    </row>
    <row r="32">
      <c r="H32" s="11" t="s">
        <v>117</v>
      </c>
      <c r="I32" s="88">
        <f>I31*I28/3</f>
        <v>326.6666667</v>
      </c>
      <c r="J32" s="87" t="s">
        <v>118</v>
      </c>
    </row>
    <row r="34">
      <c r="H34" s="27" t="s">
        <v>119</v>
      </c>
    </row>
    <row r="35">
      <c r="H35" s="81" t="s">
        <v>120</v>
      </c>
      <c r="I35" s="81">
        <v>10.0</v>
      </c>
    </row>
    <row r="36">
      <c r="H36" s="81" t="s">
        <v>121</v>
      </c>
      <c r="I36" s="89">
        <f>(I35* 86400 * 30 )*30%</f>
        <v>7776000</v>
      </c>
      <c r="J36" s="90" t="s">
        <v>122</v>
      </c>
    </row>
    <row r="37">
      <c r="H37" s="81" t="s">
        <v>123</v>
      </c>
      <c r="I37" s="91">
        <f>I30*3/(I36*3/1000)</f>
        <v>0.006001371742</v>
      </c>
      <c r="J37" s="87" t="s">
        <v>124</v>
      </c>
    </row>
  </sheetData>
  <dataValidations>
    <dataValidation type="custom" allowBlank="1" showDropDown="1" sqref="D11:D19">
      <formula1>AND(ISNUMBER(D11),(NOT(OR(NOT(ISERROR(DATEVALUE(D11))), AND(ISNUMBER(D11), LEFT(CELL("format", D11))="D")))))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4.71"/>
  </cols>
  <sheetData>
    <row r="2">
      <c r="A2" s="81" t="s">
        <v>67</v>
      </c>
      <c r="B2" s="81" t="s">
        <v>68</v>
      </c>
      <c r="C2" s="81" t="s">
        <v>125</v>
      </c>
    </row>
    <row r="3">
      <c r="A3" s="81">
        <v>600000.0</v>
      </c>
      <c r="B3" s="92">
        <f t="shared" ref="B3:B4" si="1">A3*3</f>
        <v>1800000</v>
      </c>
      <c r="C3" s="93">
        <v>257216.25</v>
      </c>
    </row>
    <row r="4">
      <c r="A4" s="81">
        <v>5000000.0</v>
      </c>
      <c r="B4" s="92">
        <f t="shared" si="1"/>
        <v>15000000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6.71"/>
    <col customWidth="1" min="3" max="4" width="53.29"/>
    <col customWidth="1" min="6" max="6" width="18.0"/>
  </cols>
  <sheetData>
    <row r="1">
      <c r="A1" s="11" t="s">
        <v>126</v>
      </c>
      <c r="B1" s="11"/>
      <c r="C1" s="11">
        <v>0.07</v>
      </c>
    </row>
    <row r="2">
      <c r="A2" s="11" t="s">
        <v>127</v>
      </c>
      <c r="B2" s="11"/>
      <c r="C2" s="11">
        <v>1000000.0</v>
      </c>
    </row>
    <row r="3">
      <c r="A3" s="11" t="s">
        <v>128</v>
      </c>
      <c r="B3" s="11"/>
      <c r="C3" s="11">
        <v>3.0</v>
      </c>
      <c r="D3" s="81"/>
      <c r="E3" s="81"/>
      <c r="F3" s="81"/>
    </row>
    <row r="6">
      <c r="A6" s="81" t="s">
        <v>67</v>
      </c>
      <c r="B6" s="94" t="s">
        <v>68</v>
      </c>
      <c r="C6" s="94" t="s">
        <v>129</v>
      </c>
      <c r="D6" s="94" t="s">
        <v>130</v>
      </c>
      <c r="E6" s="94" t="s">
        <v>131</v>
      </c>
      <c r="F6" s="94" t="s">
        <v>132</v>
      </c>
      <c r="G6" s="94" t="s">
        <v>133</v>
      </c>
      <c r="I6" s="81" t="s">
        <v>134</v>
      </c>
    </row>
    <row r="7">
      <c r="A7" s="81">
        <v>600000.0</v>
      </c>
      <c r="B7" s="81">
        <f>A7*C3</f>
        <v>1800000</v>
      </c>
      <c r="C7" s="95">
        <f>C2 + (C1*C3*A7*12)+  (0.05*A7* 12)</f>
        <v>2872000</v>
      </c>
      <c r="D7" s="96">
        <f>A7*Simulations!$K$2*3*12</f>
        <v>368004.06</v>
      </c>
      <c r="E7" s="96">
        <v>250000.0</v>
      </c>
      <c r="F7" s="97">
        <v>400000.0</v>
      </c>
      <c r="G7" s="97">
        <v>200000.0</v>
      </c>
      <c r="K7" s="98">
        <f t="shared" ref="K7:K8" si="1">(C7-sum(D7:G7))/C7</f>
        <v>0.5759038788</v>
      </c>
    </row>
    <row r="8">
      <c r="A8" s="81">
        <v>5000000.0</v>
      </c>
      <c r="B8" s="81">
        <f>A8*C3</f>
        <v>15000000</v>
      </c>
      <c r="C8" s="95">
        <f>C2+ (C1*C3*A8*12)+  (0.05*A8* 12)</f>
        <v>16600000</v>
      </c>
      <c r="D8" s="99">
        <f>A8*Simulations!$K$2*3*12</f>
        <v>3066700.5</v>
      </c>
      <c r="E8" s="99">
        <v>1000000.0</v>
      </c>
      <c r="I8" s="92">
        <f>(C8-(D8+E8+F8))/C8</f>
        <v>0.7550180422</v>
      </c>
      <c r="K8" s="98">
        <f t="shared" si="1"/>
        <v>0.7550180422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00" t="s">
        <v>135</v>
      </c>
    </row>
    <row r="3">
      <c r="A3" s="92" t="s">
        <v>136</v>
      </c>
    </row>
    <row r="4">
      <c r="A4" s="92" t="s">
        <v>137</v>
      </c>
    </row>
    <row r="5">
      <c r="A5" s="92" t="s">
        <v>138</v>
      </c>
    </row>
    <row r="6">
      <c r="A6" s="9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